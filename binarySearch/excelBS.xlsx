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tudianteccr-my.sharepoint.com/personal/a_aguilar_6_estudiantec_cr/Documents/Documentos/Ingenieria en Computadores/Semestre 4/Datos 2/QUIZ-3/binarySearch/"/>
    </mc:Choice>
  </mc:AlternateContent>
  <xr:revisionPtr revIDLastSave="0" documentId="8_{CDB35171-2DE7-4B0B-9A4C-10B443C3D76D}" xr6:coauthVersionLast="47" xr6:coauthVersionMax="47" xr10:uidLastSave="{00000000-0000-0000-0000-000000000000}"/>
  <bookViews>
    <workbookView xWindow="-108" yWindow="-108" windowWidth="23256" windowHeight="12456" xr2:uid="{AA36FB19-04D0-48E0-8F17-6B59C9620900}"/>
  </bookViews>
  <sheets>
    <sheet name="resultadosBS" sheetId="2" r:id="rId1"/>
    <sheet name="Hoja1" sheetId="1" r:id="rId2"/>
  </sheets>
  <definedNames>
    <definedName name="DatosExternos_1" localSheetId="0" hidden="1">'resultadosBS'!$A$1:$D$11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2" i="2" l="1"/>
  <c r="E3" i="2"/>
  <c r="E4" i="2"/>
  <c r="E5" i="2"/>
  <c r="E6" i="2"/>
  <c r="E7" i="2"/>
  <c r="E8" i="2"/>
  <c r="E9" i="2"/>
  <c r="E10" i="2"/>
  <c r="E11" i="2"/>
  <c r="E2" i="2"/>
  <c r="F2" i="2" l="1"/>
  <c r="F4" i="2"/>
  <c r="F3" i="2"/>
  <c r="F5" i="2"/>
  <c r="F6" i="2"/>
  <c r="F7" i="2"/>
  <c r="F8" i="2"/>
  <c r="F9" i="2"/>
  <c r="F10" i="2"/>
  <c r="F1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B41C33-FB37-43C3-94FD-81095FBF41E6}" keepAlive="1" name="Consulta - resultadosBS" description="Conexión a la consulta 'resultadosBS' en el libro." type="5" refreshedVersion="8" background="1" saveData="1">
    <dbPr connection="Provider=Microsoft.Mashup.OleDb.1;Data Source=$Workbook$;Location=resultadosBS;Extended Properties=&quot;&quot;" command="SELECT * FROM [resultadosBS]"/>
  </connection>
</connections>
</file>

<file path=xl/sharedStrings.xml><?xml version="1.0" encoding="utf-8"?>
<sst xmlns="http://schemas.openxmlformats.org/spreadsheetml/2006/main" count="6" uniqueCount="6">
  <si>
    <t>n</t>
  </si>
  <si>
    <t>tiempo_promedio_ns</t>
  </si>
  <si>
    <t>comparaciones_promedio</t>
  </si>
  <si>
    <t>log2_n</t>
  </si>
  <si>
    <t>razon</t>
  </si>
  <si>
    <t>teorico_ns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</si>
</sst>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baseline="0"/>
              <a:t>Gráfica 1: tiempo real vs. teórico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'resultadosBS'!$A$2:$A$11</c:f>
              <c:numCache>
                <c:formatCode>General</c:formatCode>
                <c:ptCount val="10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500000</c:v>
                </c:pt>
                <c:pt idx="6">
                  <c:v>1000000</c:v>
                </c:pt>
                <c:pt idx="7">
                  <c:v>5000000</c:v>
                </c:pt>
                <c:pt idx="8">
                  <c:v>10000000</c:v>
                </c:pt>
                <c:pt idx="9">
                  <c:v>50000000</c:v>
                </c:pt>
              </c:numCache>
            </c:numRef>
          </c:xVal>
          <c:yVal>
            <c:numRef>
              <c:f>'resultadosBS'!$B$2:$B$11</c:f>
              <c:numCache>
                <c:formatCode>General</c:formatCode>
                <c:ptCount val="10"/>
                <c:pt idx="0">
                  <c:v>76.856499999999997</c:v>
                </c:pt>
                <c:pt idx="1">
                  <c:v>102.806</c:v>
                </c:pt>
                <c:pt idx="2">
                  <c:v>113.70399999999999</c:v>
                </c:pt>
                <c:pt idx="3">
                  <c:v>142.95599999999999</c:v>
                </c:pt>
                <c:pt idx="4">
                  <c:v>162.142</c:v>
                </c:pt>
                <c:pt idx="5">
                  <c:v>219.774</c:v>
                </c:pt>
                <c:pt idx="6">
                  <c:v>253.41499999999999</c:v>
                </c:pt>
                <c:pt idx="7">
                  <c:v>392.64800000000002</c:v>
                </c:pt>
                <c:pt idx="8">
                  <c:v>463.92899999999997</c:v>
                </c:pt>
                <c:pt idx="9">
                  <c:v>765.83100000000002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EA-4C25-8E9A-2B20916C9780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'resultadosBS'!$A$2:$A$11</c:f>
              <c:numCache>
                <c:formatCode>General</c:formatCode>
                <c:ptCount val="10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500000</c:v>
                </c:pt>
                <c:pt idx="6">
                  <c:v>1000000</c:v>
                </c:pt>
                <c:pt idx="7">
                  <c:v>5000000</c:v>
                </c:pt>
                <c:pt idx="8">
                  <c:v>10000000</c:v>
                </c:pt>
                <c:pt idx="9">
                  <c:v>50000000</c:v>
                </c:pt>
              </c:numCache>
            </c:numRef>
          </c:xVal>
          <c:yVal>
            <c:numRef>
              <c:f>'resultadosBS'!$F$2:$F$11</c:f>
              <c:numCache>
                <c:formatCode>General</c:formatCode>
                <c:ptCount val="10"/>
                <c:pt idx="0">
                  <c:v>134.95484186837237</c:v>
                </c:pt>
                <c:pt idx="1">
                  <c:v>166.39787456937631</c:v>
                </c:pt>
                <c:pt idx="2">
                  <c:v>179.93969887900107</c:v>
                </c:pt>
                <c:pt idx="3">
                  <c:v>211.38246074351883</c:v>
                </c:pt>
                <c:pt idx="4">
                  <c:v>224.92428505314362</c:v>
                </c:pt>
                <c:pt idx="5">
                  <c:v>256.36840110009234</c:v>
                </c:pt>
                <c:pt idx="6">
                  <c:v>269.9102254097171</c:v>
                </c:pt>
                <c:pt idx="7">
                  <c:v>301.35298727423486</c:v>
                </c:pt>
                <c:pt idx="8">
                  <c:v>314.89481158385962</c:v>
                </c:pt>
                <c:pt idx="9">
                  <c:v>346.33757344837738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EA-4C25-8E9A-2B20916C9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585135"/>
        <c:axId val="976644719"/>
      </c:scatterChart>
      <c:valAx>
        <c:axId val="149458513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000" b="0" i="0" u="none" strike="noStrike" baseline="0"/>
                  <a:t>n (tamaño del arreglo)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76644719"/>
        <c:crosses val="autoZero"/>
        <c:crossBetween val="midCat"/>
      </c:valAx>
      <c:valAx>
        <c:axId val="97664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000" b="0" i="0" u="none" strike="noStrike" baseline="0"/>
                  <a:t>Tiempo por búsqueda (ns)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94585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baseline="0"/>
              <a:t>Gráfica 2: comparaciones vs. log₂(n)</a:t>
            </a:r>
            <a:endParaRPr lang="es-MX"/>
          </a:p>
        </c:rich>
      </c:tx>
      <c:layout>
        <c:manualLayout>
          <c:xMode val="edge"/>
          <c:yMode val="edge"/>
          <c:x val="0.3125091902314871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'resultadosBS'!$A$2:$A$11</c:f>
              <c:numCache>
                <c:formatCode>General</c:formatCode>
                <c:ptCount val="10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500000</c:v>
                </c:pt>
                <c:pt idx="6">
                  <c:v>1000000</c:v>
                </c:pt>
                <c:pt idx="7">
                  <c:v>5000000</c:v>
                </c:pt>
                <c:pt idx="8">
                  <c:v>10000000</c:v>
                </c:pt>
                <c:pt idx="9">
                  <c:v>50000000</c:v>
                </c:pt>
              </c:numCache>
            </c:numRef>
          </c:xVal>
          <c:yVal>
            <c:numRef>
              <c:f>'resultadosBS'!$C$2:$C$11</c:f>
              <c:numCache>
                <c:formatCode>General</c:formatCode>
                <c:ptCount val="10"/>
                <c:pt idx="0">
                  <c:v>9.4987600000000008</c:v>
                </c:pt>
                <c:pt idx="1">
                  <c:v>11.8719</c:v>
                </c:pt>
                <c:pt idx="2">
                  <c:v>12.871700000000001</c:v>
                </c:pt>
                <c:pt idx="3">
                  <c:v>15.201499999999999</c:v>
                </c:pt>
                <c:pt idx="4">
                  <c:v>16.195</c:v>
                </c:pt>
                <c:pt idx="5">
                  <c:v>18.456499999999998</c:v>
                </c:pt>
                <c:pt idx="6">
                  <c:v>19.461500000000001</c:v>
                </c:pt>
                <c:pt idx="7">
                  <c:v>21.830300000000001</c:v>
                </c:pt>
                <c:pt idx="8">
                  <c:v>22.827999999999999</c:v>
                </c:pt>
                <c:pt idx="9">
                  <c:v>25.161200000000001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DE-4FE4-9160-BCE6CBDCD476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'resultadosBS'!$A$2:$A$11</c:f>
              <c:numCache>
                <c:formatCode>General</c:formatCode>
                <c:ptCount val="10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500000</c:v>
                </c:pt>
                <c:pt idx="6">
                  <c:v>1000000</c:v>
                </c:pt>
                <c:pt idx="7">
                  <c:v>5000000</c:v>
                </c:pt>
                <c:pt idx="8">
                  <c:v>10000000</c:v>
                </c:pt>
                <c:pt idx="9">
                  <c:v>50000000</c:v>
                </c:pt>
              </c:numCache>
            </c:numRef>
          </c:xVal>
          <c:yVal>
            <c:numRef>
              <c:f>'resultadosBS'!$D$2:$D$11</c:f>
              <c:numCache>
                <c:formatCode>General</c:formatCode>
                <c:ptCount val="10"/>
                <c:pt idx="0">
                  <c:v>9.9657800000000005</c:v>
                </c:pt>
                <c:pt idx="1">
                  <c:v>12.287699999999999</c:v>
                </c:pt>
                <c:pt idx="2">
                  <c:v>13.287699999999999</c:v>
                </c:pt>
                <c:pt idx="3">
                  <c:v>15.6096</c:v>
                </c:pt>
                <c:pt idx="4">
                  <c:v>16.6096</c:v>
                </c:pt>
                <c:pt idx="5">
                  <c:v>18.9316</c:v>
                </c:pt>
                <c:pt idx="6">
                  <c:v>19.9316</c:v>
                </c:pt>
                <c:pt idx="7">
                  <c:v>22.253499999999999</c:v>
                </c:pt>
                <c:pt idx="8">
                  <c:v>23.253499999999999</c:v>
                </c:pt>
                <c:pt idx="9">
                  <c:v>25.575399999999998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DE-4FE4-9160-BCE6CBDCD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138127"/>
        <c:axId val="976554479"/>
      </c:scatterChart>
      <c:valAx>
        <c:axId val="100213812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76554479"/>
        <c:crosses val="autoZero"/>
        <c:crossBetween val="midCat"/>
      </c:valAx>
      <c:valAx>
        <c:axId val="97655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02138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baseline="0"/>
              <a:t>Gráfica 3: tiempo vs. log₂(n)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'resultadosBS'!$B$2:$B$11</c:f>
              <c:numCache>
                <c:formatCode>General</c:formatCode>
                <c:ptCount val="10"/>
                <c:pt idx="0">
                  <c:v>76.856499999999997</c:v>
                </c:pt>
                <c:pt idx="1">
                  <c:v>102.806</c:v>
                </c:pt>
                <c:pt idx="2">
                  <c:v>113.70399999999999</c:v>
                </c:pt>
                <c:pt idx="3">
                  <c:v>142.95599999999999</c:v>
                </c:pt>
                <c:pt idx="4">
                  <c:v>162.142</c:v>
                </c:pt>
                <c:pt idx="5">
                  <c:v>219.774</c:v>
                </c:pt>
                <c:pt idx="6">
                  <c:v>253.41499999999999</c:v>
                </c:pt>
                <c:pt idx="7">
                  <c:v>392.64800000000002</c:v>
                </c:pt>
                <c:pt idx="8">
                  <c:v>463.92899999999997</c:v>
                </c:pt>
                <c:pt idx="9">
                  <c:v>765.83100000000002</c:v>
                </c:pt>
              </c:numCache>
            </c:numRef>
          </c:xVal>
          <c:yVal>
            <c:numRef>
              <c:f>'resultadosBS'!$D$2:$D$11</c:f>
              <c:numCache>
                <c:formatCode>General</c:formatCode>
                <c:ptCount val="10"/>
                <c:pt idx="0">
                  <c:v>9.9657800000000005</c:v>
                </c:pt>
                <c:pt idx="1">
                  <c:v>12.287699999999999</c:v>
                </c:pt>
                <c:pt idx="2">
                  <c:v>13.287699999999999</c:v>
                </c:pt>
                <c:pt idx="3">
                  <c:v>15.6096</c:v>
                </c:pt>
                <c:pt idx="4">
                  <c:v>16.6096</c:v>
                </c:pt>
                <c:pt idx="5">
                  <c:v>18.9316</c:v>
                </c:pt>
                <c:pt idx="6">
                  <c:v>19.9316</c:v>
                </c:pt>
                <c:pt idx="7">
                  <c:v>22.253499999999999</c:v>
                </c:pt>
                <c:pt idx="8">
                  <c:v>23.253499999999999</c:v>
                </c:pt>
                <c:pt idx="9">
                  <c:v>25.575399999999998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60-4D54-8B1E-BA310846419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'resultadosBS'!$B$2:$B$11</c:f>
              <c:numCache>
                <c:formatCode>General</c:formatCode>
                <c:ptCount val="10"/>
                <c:pt idx="0">
                  <c:v>76.856499999999997</c:v>
                </c:pt>
                <c:pt idx="1">
                  <c:v>102.806</c:v>
                </c:pt>
                <c:pt idx="2">
                  <c:v>113.70399999999999</c:v>
                </c:pt>
                <c:pt idx="3">
                  <c:v>142.95599999999999</c:v>
                </c:pt>
                <c:pt idx="4">
                  <c:v>162.142</c:v>
                </c:pt>
                <c:pt idx="5">
                  <c:v>219.774</c:v>
                </c:pt>
                <c:pt idx="6">
                  <c:v>253.41499999999999</c:v>
                </c:pt>
                <c:pt idx="7">
                  <c:v>392.64800000000002</c:v>
                </c:pt>
                <c:pt idx="8">
                  <c:v>463.92899999999997</c:v>
                </c:pt>
                <c:pt idx="9">
                  <c:v>765.83100000000002</c:v>
                </c:pt>
              </c:numCache>
            </c:numRef>
          </c:xVal>
          <c:yVal>
            <c:numRef>
              <c:f>'resultadosBS'!$F$2:$F$11</c:f>
              <c:numCache>
                <c:formatCode>General</c:formatCode>
                <c:ptCount val="10"/>
                <c:pt idx="0">
                  <c:v>134.95484186837237</c:v>
                </c:pt>
                <c:pt idx="1">
                  <c:v>166.39787456937631</c:v>
                </c:pt>
                <c:pt idx="2">
                  <c:v>179.93969887900107</c:v>
                </c:pt>
                <c:pt idx="3">
                  <c:v>211.38246074351883</c:v>
                </c:pt>
                <c:pt idx="4">
                  <c:v>224.92428505314362</c:v>
                </c:pt>
                <c:pt idx="5">
                  <c:v>256.36840110009234</c:v>
                </c:pt>
                <c:pt idx="6">
                  <c:v>269.9102254097171</c:v>
                </c:pt>
                <c:pt idx="7">
                  <c:v>301.35298727423486</c:v>
                </c:pt>
                <c:pt idx="8">
                  <c:v>314.89481158385962</c:v>
                </c:pt>
                <c:pt idx="9">
                  <c:v>346.33757344837738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160-4D54-8B1E-BA3108464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557295"/>
        <c:axId val="976635119"/>
      </c:scatterChart>
      <c:valAx>
        <c:axId val="1494557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76635119"/>
        <c:crosses val="autoZero"/>
        <c:crossBetween val="midCat"/>
      </c:valAx>
      <c:valAx>
        <c:axId val="97663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9455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0</xdr:row>
      <xdr:rowOff>110490</xdr:rowOff>
    </xdr:from>
    <xdr:to>
      <xdr:col>12</xdr:col>
      <xdr:colOff>525780</xdr:colOff>
      <xdr:row>15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E10608F-B17A-0C27-5E81-9950226C94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125730</xdr:colOff>
      <xdr:row>16</xdr:row>
      <xdr:rowOff>11430</xdr:rowOff>
    </xdr:from>
    <xdr:to>
      <xdr:col>12</xdr:col>
      <xdr:colOff>525780</xdr:colOff>
      <xdr:row>31</xdr:row>
      <xdr:rowOff>11430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3B44F6D-3125-1113-521D-654EBDF240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773430</xdr:colOff>
      <xdr:row>12</xdr:row>
      <xdr:rowOff>140970</xdr:rowOff>
    </xdr:from>
    <xdr:to>
      <xdr:col>6</xdr:col>
      <xdr:colOff>19050</xdr:colOff>
      <xdr:row>27</xdr:row>
      <xdr:rowOff>140970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B8EAC31-7071-4C1B-8506-93F3201F42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99D9B34-AC9A-4547-847C-1F08568B6532}" autoFormatId="16" applyNumberFormats="0" applyBorderFormats="0" applyFontFormats="0" applyPatternFormats="0" applyAlignmentFormats="0" applyWidthHeightFormats="0">
  <queryTableRefresh nextId="7" unboundColumnsRight="2">
    <queryTableFields count="6">
      <queryTableField id="1" name="n" tableColumnId="1"/>
      <queryTableField id="2" name="tiempo_promedio_ns" tableColumnId="2"/>
      <queryTableField id="3" name="comparaciones_promedio" tableColumnId="3"/>
      <queryTableField id="4" name="log2_n" tableColumnId="4"/>
      <queryTableField id="5" dataBound="0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F4E6DE-581D-4CF5-98EE-9BE1EF6B44C0}" name="resultadosBS" displayName="resultadosBS" ref="A1:F12" tableType="queryTable" totalsRowCount="1">
  <autoFilter ref="A1:F11" xr:uid="{39F4E6DE-581D-4CF5-98EE-9BE1EF6B44C0}"/>
  <tableColumns count="6">
    <tableColumn id="1" xr3:uid="{EEE5B8F3-EB9A-4480-A53B-3E04DB19FDCF}" uniqueName="1" name="n" queryTableFieldId="1"/>
    <tableColumn id="2" xr3:uid="{5D72A0E4-3119-4C25-B3A4-67BE68B1D134}" uniqueName="2" name="tiempo_promedio_ns" queryTableFieldId="2"/>
    <tableColumn id="3" xr3:uid="{42DDE7BE-2C46-42D6-9874-BEC642692770}" uniqueName="3" name="comparaciones_promedio" queryTableFieldId="3"/>
    <tableColumn id="4" xr3:uid="{94E66C3D-4307-4BE7-ABD6-2FA8C13E4B87}" uniqueName="4" name="log2_n" queryTableFieldId="4"/>
    <tableColumn id="5" xr3:uid="{72392D9F-DCB2-4362-BF64-288171FB7357}" uniqueName="5" name="razon" totalsRowFunction="custom" queryTableFieldId="5" dataDxfId="2" totalsRowDxfId="1">
      <calculatedColumnFormula>B2/D2</calculatedColumnFormula>
      <totalsRowFormula>AVERAGE(E2:E11)</totalsRowFormula>
    </tableColumn>
    <tableColumn id="6" xr3:uid="{622B3394-E918-4068-B82D-820E6D21DCCA}" uniqueName="6" name="teorico_ns" queryTableFieldId="6" dataDxfId="0">
      <calculatedColumnFormula>$E$12*D2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E8749-BC9E-4B2B-AED3-6D59A50546B1}">
  <dimension ref="A1:F12"/>
  <sheetViews>
    <sheetView tabSelected="1" workbookViewId="0">
      <selection activeCell="F31" sqref="F31"/>
    </sheetView>
  </sheetViews>
  <sheetFormatPr baseColWidth="10" defaultRowHeight="14.4" x14ac:dyDescent="0.3"/>
  <cols>
    <col min="1" max="1" width="9" bestFit="1" customWidth="1"/>
    <col min="2" max="2" width="20.88671875" bestFit="1" customWidth="1"/>
    <col min="3" max="3" width="25.21875" bestFit="1" customWidth="1"/>
    <col min="4" max="4" width="8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1000</v>
      </c>
      <c r="B2">
        <v>76.856499999999997</v>
      </c>
      <c r="C2">
        <v>9.4987600000000008</v>
      </c>
      <c r="D2">
        <v>9.9657800000000005</v>
      </c>
      <c r="E2">
        <f t="shared" ref="E2:E11" si="0">B2/D2</f>
        <v>7.7120406029432713</v>
      </c>
      <c r="F2">
        <f t="shared" ref="F2:F11" si="1">$E$12*D2</f>
        <v>134.95484186837237</v>
      </c>
    </row>
    <row r="3" spans="1:6" x14ac:dyDescent="0.3">
      <c r="A3">
        <v>5000</v>
      </c>
      <c r="B3">
        <v>102.806</v>
      </c>
      <c r="C3">
        <v>11.8719</v>
      </c>
      <c r="D3">
        <v>12.287699999999999</v>
      </c>
      <c r="E3">
        <f t="shared" si="0"/>
        <v>8.3665779600738954</v>
      </c>
      <c r="F3">
        <f t="shared" si="1"/>
        <v>166.39787456937631</v>
      </c>
    </row>
    <row r="4" spans="1:6" x14ac:dyDescent="0.3">
      <c r="A4">
        <v>10000</v>
      </c>
      <c r="B4">
        <v>113.70399999999999</v>
      </c>
      <c r="C4">
        <v>12.871700000000001</v>
      </c>
      <c r="D4">
        <v>13.287699999999999</v>
      </c>
      <c r="E4">
        <f t="shared" si="0"/>
        <v>8.5570866289877099</v>
      </c>
      <c r="F4">
        <f t="shared" si="1"/>
        <v>179.93969887900107</v>
      </c>
    </row>
    <row r="5" spans="1:6" x14ac:dyDescent="0.3">
      <c r="A5">
        <v>50000</v>
      </c>
      <c r="B5">
        <v>142.95599999999999</v>
      </c>
      <c r="C5">
        <v>15.201499999999999</v>
      </c>
      <c r="D5">
        <v>15.6096</v>
      </c>
      <c r="E5">
        <f t="shared" si="0"/>
        <v>9.1582103321033195</v>
      </c>
      <c r="F5">
        <f t="shared" si="1"/>
        <v>211.38246074351883</v>
      </c>
    </row>
    <row r="6" spans="1:6" x14ac:dyDescent="0.3">
      <c r="A6">
        <v>100000</v>
      </c>
      <c r="B6">
        <v>162.142</v>
      </c>
      <c r="C6">
        <v>16.195</v>
      </c>
      <c r="D6">
        <v>16.6096</v>
      </c>
      <c r="E6">
        <f t="shared" si="0"/>
        <v>9.7619448993353242</v>
      </c>
      <c r="F6">
        <f t="shared" si="1"/>
        <v>224.92428505314362</v>
      </c>
    </row>
    <row r="7" spans="1:6" x14ac:dyDescent="0.3">
      <c r="A7">
        <v>500000</v>
      </c>
      <c r="B7">
        <v>219.774</v>
      </c>
      <c r="C7">
        <v>18.456499999999998</v>
      </c>
      <c r="D7">
        <v>18.9316</v>
      </c>
      <c r="E7">
        <f t="shared" si="0"/>
        <v>11.608844471676985</v>
      </c>
      <c r="F7">
        <f t="shared" si="1"/>
        <v>256.36840110009234</v>
      </c>
    </row>
    <row r="8" spans="1:6" x14ac:dyDescent="0.3">
      <c r="A8">
        <v>1000000</v>
      </c>
      <c r="B8">
        <v>253.41499999999999</v>
      </c>
      <c r="C8">
        <v>19.461500000000001</v>
      </c>
      <c r="D8">
        <v>19.9316</v>
      </c>
      <c r="E8">
        <f t="shared" si="0"/>
        <v>12.714232675751068</v>
      </c>
      <c r="F8">
        <f t="shared" si="1"/>
        <v>269.9102254097171</v>
      </c>
    </row>
    <row r="9" spans="1:6" x14ac:dyDescent="0.3">
      <c r="A9">
        <v>5000000</v>
      </c>
      <c r="B9">
        <v>392.64800000000002</v>
      </c>
      <c r="C9">
        <v>21.830300000000001</v>
      </c>
      <c r="D9">
        <v>22.253499999999999</v>
      </c>
      <c r="E9">
        <f t="shared" si="0"/>
        <v>17.644325611701532</v>
      </c>
      <c r="F9">
        <f t="shared" si="1"/>
        <v>301.35298727423486</v>
      </c>
    </row>
    <row r="10" spans="1:6" x14ac:dyDescent="0.3">
      <c r="A10">
        <v>10000000</v>
      </c>
      <c r="B10">
        <v>463.92899999999997</v>
      </c>
      <c r="C10">
        <v>22.827999999999999</v>
      </c>
      <c r="D10">
        <v>23.253499999999999</v>
      </c>
      <c r="E10">
        <f t="shared" si="0"/>
        <v>19.950932117745715</v>
      </c>
      <c r="F10">
        <f t="shared" si="1"/>
        <v>314.89481158385962</v>
      </c>
    </row>
    <row r="11" spans="1:6" x14ac:dyDescent="0.3">
      <c r="A11">
        <v>50000000</v>
      </c>
      <c r="B11">
        <v>765.83100000000002</v>
      </c>
      <c r="C11">
        <v>25.161200000000001</v>
      </c>
      <c r="D11">
        <v>25.575399999999998</v>
      </c>
      <c r="E11">
        <f t="shared" si="0"/>
        <v>29.944047795928903</v>
      </c>
      <c r="F11">
        <f t="shared" si="1"/>
        <v>346.33757344837738</v>
      </c>
    </row>
    <row r="12" spans="1:6" x14ac:dyDescent="0.3">
      <c r="E12" s="1">
        <f>AVERAGE(E2:E11)</f>
        <v>13.541824309624772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DB652-FD19-4B6B-8F89-8BC5D7DE0D94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600647-C8C5-4796-A986-1D392D4E89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resultadosBS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EMILIANO AGUILAR MENDEZ</dc:creator>
  <cp:lastModifiedBy>ANDRES EMILIANO AGUILAR MENDEZ</cp:lastModifiedBy>
  <dcterms:created xsi:type="dcterms:W3CDTF">2026-10-01T05:59:22Z</dcterms:created>
  <dcterms:modified xsi:type="dcterms:W3CDTF">2026-10-01T06:34:35Z</dcterms:modified>
</cp:coreProperties>
</file>